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brah\Personal\Work\College\DAQ Project\"/>
    </mc:Choice>
  </mc:AlternateContent>
  <xr:revisionPtr revIDLastSave="0" documentId="13_ncr:1_{F3F5E239-6DCC-4928-9BD8-1209B19DB88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Summary" sheetId="2" r:id="rId2"/>
  </sheets>
  <definedNames>
    <definedName name="_xlnm._FilterDatabase" localSheetId="0" hidden="1">BOM!$A$4:$I$49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2" l="1"/>
  <c r="C22" i="2"/>
  <c r="C17" i="2"/>
  <c r="C15" i="2"/>
  <c r="C13" i="2"/>
  <c r="C11" i="2"/>
  <c r="C10" i="2"/>
  <c r="G49" i="1"/>
  <c r="G48" i="1"/>
  <c r="G47" i="1"/>
  <c r="B24" i="2" s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B14" i="2" s="1"/>
  <c r="G28" i="1"/>
  <c r="G27" i="1"/>
  <c r="G26" i="1"/>
  <c r="G25" i="1"/>
  <c r="G24" i="1"/>
  <c r="B13" i="2" s="1"/>
  <c r="D13" i="2" s="1"/>
  <c r="G23" i="1"/>
  <c r="G22" i="1"/>
  <c r="G21" i="1"/>
  <c r="G20" i="1"/>
  <c r="B12" i="2" s="1"/>
  <c r="G19" i="1"/>
  <c r="G18" i="1"/>
  <c r="G17" i="1"/>
  <c r="G16" i="1"/>
  <c r="G15" i="1"/>
  <c r="B11" i="2" s="1"/>
  <c r="D11" i="2" s="1"/>
  <c r="G14" i="1"/>
  <c r="G13" i="1"/>
  <c r="G12" i="1"/>
  <c r="B10" i="2" s="1"/>
  <c r="G11" i="1"/>
  <c r="G10" i="1"/>
  <c r="C9" i="2" s="1"/>
  <c r="G9" i="1"/>
  <c r="G8" i="1"/>
  <c r="G7" i="1"/>
  <c r="G6" i="1"/>
  <c r="G5" i="1"/>
  <c r="B23" i="2" l="1"/>
  <c r="D23" i="2" s="1"/>
  <c r="D10" i="2"/>
  <c r="C26" i="2"/>
  <c r="C16" i="2"/>
  <c r="B26" i="2"/>
  <c r="D26" i="2" s="1"/>
  <c r="B16" i="2"/>
  <c r="B22" i="2"/>
  <c r="D22" i="2" s="1"/>
  <c r="B15" i="2"/>
  <c r="D15" i="2" s="1"/>
  <c r="C24" i="2"/>
  <c r="C14" i="2"/>
  <c r="D14" i="2" s="1"/>
  <c r="C25" i="2"/>
  <c r="C12" i="2"/>
  <c r="B25" i="2"/>
  <c r="B9" i="2"/>
  <c r="D9" i="2" s="1"/>
  <c r="B17" i="2"/>
  <c r="G51" i="1"/>
  <c r="D16" i="2" l="1"/>
  <c r="D24" i="2"/>
  <c r="C27" i="2"/>
  <c r="D12" i="2"/>
  <c r="C18" i="2"/>
  <c r="D25" i="2"/>
  <c r="B27" i="2"/>
  <c r="D17" i="2"/>
  <c r="B18" i="2"/>
  <c r="B30" i="2" s="1"/>
  <c r="D18" i="2" l="1"/>
  <c r="D27" i="2"/>
  <c r="B31" i="2"/>
  <c r="B34" i="2" l="1"/>
  <c r="B32" i="2"/>
  <c r="B33" i="2" s="1"/>
</calcChain>
</file>

<file path=xl/sharedStrings.xml><?xml version="1.0" encoding="utf-8"?>
<sst xmlns="http://schemas.openxmlformats.org/spreadsheetml/2006/main" count="279" uniqueCount="141">
  <si>
    <t>Care Robot: Bill of Materials (USD, estimates)</t>
  </si>
  <si>
    <t>Blue cells (Qty, Unit price) are inputs: edit them and every total updates. Prices are estimates; see the Summary sheet for assumptions.</t>
  </si>
  <si>
    <t>#</t>
  </si>
  <si>
    <t>Subsystem</t>
  </si>
  <si>
    <t>Component</t>
  </si>
  <si>
    <t>Specification / notes</t>
  </si>
  <si>
    <t>Qty</t>
  </si>
  <si>
    <t>Unit price (USD est.)</t>
  </si>
  <si>
    <t>Line total (USD)</t>
  </si>
  <si>
    <t>Tier</t>
  </si>
  <si>
    <t>Owner (suggested)</t>
  </si>
  <si>
    <t>Compute &amp; control</t>
  </si>
  <si>
    <t>Raspberry Pi 5 (4 GB)</t>
  </si>
  <si>
    <t>Onboard ROS 2 + YOLO + OpenCV. Skip if you already own a Pi 5 (a Pi 4 4 GB also works, slower). Aug 2026 list price; memory-driven hikes since Dec 2025</t>
  </si>
  <si>
    <t>Core</t>
  </si>
  <si>
    <t>4 Vision/AI &amp; integration</t>
  </si>
  <si>
    <t>Pi 5 active cooler</t>
  </si>
  <si>
    <t>Needed to avoid throttling under YOLO load</t>
  </si>
  <si>
    <t>microSD card 64 GB (A2, Class 10)</t>
  </si>
  <si>
    <t>Ubuntu 24.04 + ROS 2 Jazzy</t>
  </si>
  <si>
    <t>ESP32 DevKit (ESP32-WROOM-32, 38-pin)</t>
  </si>
  <si>
    <t>Low-level controller: motor PID, encoders, sensors, servos. 1 spare</t>
  </si>
  <si>
    <t>1 Drive &amp; power</t>
  </si>
  <si>
    <t>USB data cable (Pi to ESP32)</t>
  </si>
  <si>
    <t>Serial link carrying your framed protocol</t>
  </si>
  <si>
    <t>Pi 5 bench power supply (5 V / 5 A USB-C)</t>
  </si>
  <si>
    <t>Desk development only; skip if you own one</t>
  </si>
  <si>
    <t>Optional</t>
  </si>
  <si>
    <t>Vitals sensing</t>
  </si>
  <si>
    <t>MAX30102 pulse oximeter / heart-rate module</t>
  </si>
  <si>
    <t>I2C. 1 spare. Needs a light-shielded finger chamber</t>
  </si>
  <si>
    <t>2 Vitals</t>
  </si>
  <si>
    <t>MLX90614 (GY-906) non-contact IR thermometer</t>
  </si>
  <si>
    <t>Primary temperature sensor, aimed at forehead. Check the field-of-view variant</t>
  </si>
  <si>
    <t>MAX30205 contact temperature breakout</t>
  </si>
  <si>
    <t>Cross-check against the IR reading</t>
  </si>
  <si>
    <t>Navigation &amp; safety sensing</t>
  </si>
  <si>
    <t>HC-SR04 ultrasonic sensor (3.3 V-compatible version)</t>
  </si>
  <si>
    <t>Front-left / front-right. Trigger one at a time to avoid crosstalk</t>
  </si>
  <si>
    <t>VL53L0X time-of-flight sensor</t>
  </si>
  <si>
    <t>Side / low obstacle. Use XSHUT pins to give each a unique I2C address</t>
  </si>
  <si>
    <t>MPU6050 IMU</t>
  </si>
  <si>
    <t>Heading for dead reckoning between markers</t>
  </si>
  <si>
    <t>Micro limit switch</t>
  </si>
  <si>
    <t>Confirms each drawer opened. 1 spare</t>
  </si>
  <si>
    <t>3 Drawers</t>
  </si>
  <si>
    <t>INA219 voltage/current monitor</t>
  </si>
  <si>
    <t>Battery monitoring and stall detection</t>
  </si>
  <si>
    <t>4-channel bidirectional logic level shifter</t>
  </si>
  <si>
    <t>5 V echo lines and 3.3 V ESP32 pins</t>
  </si>
  <si>
    <t>Vision &amp; interaction</t>
  </si>
  <si>
    <t>USB webcam, wide-angle 1080p</t>
  </si>
  <si>
    <t>Bed detection and ArUco/QR reading (C270-class is fine)</t>
  </si>
  <si>
    <t>Small USB speaker</t>
  </si>
  <si>
    <t>Voice prompts to the patient</t>
  </si>
  <si>
    <t>USB microphone</t>
  </si>
  <si>
    <t>Two-way audio / voice prompts only</t>
  </si>
  <si>
    <t>7-inch Pi touchscreen</t>
  </si>
  <si>
    <t>Not recommended: a phone or laptop approval page covers this</t>
  </si>
  <si>
    <t>Drive &amp; motion</t>
  </si>
  <si>
    <t>12 V DC gear motor with Hall encoder (37 mm, ~100 RPM, 10 kg·cm or more rated)</t>
  </si>
  <si>
    <t>Verify rated (not stall) torque against your final robot weight</t>
  </si>
  <si>
    <t>Motor bracket + shaft hub set (37 mm)</t>
  </si>
  <si>
    <t>Match the motor shaft diameter</t>
  </si>
  <si>
    <t>Rubber drive wheel, 85-100 mm (pair)</t>
  </si>
  <si>
    <t>Large enough to clear door thresholds</t>
  </si>
  <si>
    <t>Ball caster</t>
  </si>
  <si>
    <t>Front and rear balance</t>
  </si>
  <si>
    <t>DRV8871 motor driver breakout (3.6 A peak)</t>
  </si>
  <si>
    <t>One per motor. Add stall detection in firmware</t>
  </si>
  <si>
    <t>Drawers &amp; dispensing</t>
  </si>
  <si>
    <t>MG90S metal-gear servo</t>
  </si>
  <si>
    <t>3 drawer locks + 1 lid. Do not use SG90 for locks</t>
  </si>
  <si>
    <t>Mini drawer slides (pair, 100-150 mm)</t>
  </si>
  <si>
    <t>Or print the drawers and skip this</t>
  </si>
  <si>
    <t>Power &amp; protection</t>
  </si>
  <si>
    <t>3S Li-ion battery pack, 11.1 V, ~6 Ah, with BMS</t>
  </si>
  <si>
    <t>Buy a pack with built-in protection. Keep it low and over the wheels</t>
  </si>
  <si>
    <t>3S Li-ion charger (12.6 V, 2 A)</t>
  </si>
  <si>
    <t>Must match the pack chemistry</t>
  </si>
  <si>
    <t>5 V / 5 A buck converter (quality unit)</t>
  </si>
  <si>
    <t>Powers the Pi 5. Cheap 3 A modules will brown out</t>
  </si>
  <si>
    <t>5 V / 3 A buck converter</t>
  </si>
  <si>
    <t>Dedicated servo supply so servo spikes do not reset the Pi</t>
  </si>
  <si>
    <t>Latching emergency-stop button (22 mm, NC)</t>
  </si>
  <si>
    <t>Wired to cut motor power in hardware, not in software</t>
  </si>
  <si>
    <t>12 V relay (30 A) with flyback diode</t>
  </si>
  <si>
    <t>Opened by the E-stop to cut the motor supply</t>
  </si>
  <si>
    <t>Main power switch (rocker, 15 A)</t>
  </si>
  <si>
    <t>Inline fuse holder + 10 A blade fuses</t>
  </si>
  <si>
    <t>Main battery protection</t>
  </si>
  <si>
    <t>XT60 connector pair</t>
  </si>
  <si>
    <t>Battery and motor-supply connections</t>
  </si>
  <si>
    <t>Structure &amp; wiring</t>
  </si>
  <si>
    <t>3D-printing filament, PETG or PLA (1 kg)</t>
  </si>
  <si>
    <t>Cabinet, drawers, sensor mount, finger chamber. Assumes printer access</t>
  </si>
  <si>
    <t>Shared</t>
  </si>
  <si>
    <t>Base plate, 6 mm MDF or acrylic (~40 x 30 cm)</t>
  </si>
  <si>
    <t>Chassis base</t>
  </si>
  <si>
    <t>M3/M4 screws, nuts, standoffs kit</t>
  </si>
  <si>
    <t>Wires, Dupont/JST connectors, terminal blocks, heat-shrink, perfboard</t>
  </si>
  <si>
    <t>Custom ESP32 carrier PCB (e.g. 5 boards, 2-layer)</t>
  </si>
  <si>
    <t>Only if you design one. Shipping can exceed the board cost</t>
  </si>
  <si>
    <t>Validation &amp; demo supplies</t>
  </si>
  <si>
    <t>Commercial fingertip pulse oximeter (reference)</t>
  </si>
  <si>
    <t>Validate your MAX30102 readings; report the error</t>
  </si>
  <si>
    <t>Commercial digital / IR thermometer (reference)</t>
  </si>
  <si>
    <t>Validate your temperature readings</t>
  </si>
  <si>
    <t>Placeholder 'medication' (vitamins, mints)</t>
  </si>
  <si>
    <t>Never real drugs in the demo</t>
  </si>
  <si>
    <t>Disposable finger covers + alcohol wipes</t>
  </si>
  <si>
    <t>Hygiene between users</t>
  </si>
  <si>
    <t>Printed ArUco markers, QR wristbands, calibration checkerboard</t>
  </si>
  <si>
    <t>Paper, laminated</t>
  </si>
  <si>
    <t>Total, all items</t>
  </si>
  <si>
    <t>Care Robot BOM: Summary</t>
  </si>
  <si>
    <t>Local currency code</t>
  </si>
  <si>
    <t>LOCAL</t>
  </si>
  <si>
    <t>Edit the yellow cells. Enter your local currency per USD (default 1 = shows USD).</t>
  </si>
  <si>
    <t>Local currency per 1 USD</t>
  </si>
  <si>
    <t>Contingency on Core items</t>
  </si>
  <si>
    <t>By subsystem</t>
  </si>
  <si>
    <t>Core (USD)</t>
  </si>
  <si>
    <t>Optional (USD)</t>
  </si>
  <si>
    <t>Total (USD)</t>
  </si>
  <si>
    <t>Total</t>
  </si>
  <si>
    <t>By owner (suggested)</t>
  </si>
  <si>
    <t>Owner</t>
  </si>
  <si>
    <t>Budget</t>
  </si>
  <si>
    <t>Core items (USD)</t>
  </si>
  <si>
    <t>Contingency (USD)</t>
  </si>
  <si>
    <t>Core + contingency (USD)</t>
  </si>
  <si>
    <t>Core + contingency (local currency)</t>
  </si>
  <si>
    <t>Everything incl. optional + contingency on core (USD)</t>
  </si>
  <si>
    <t>Assumptions</t>
  </si>
  <si>
    <t>All prices are rough USD estimates for typical online hobby-electronics retailers, not quotes. Check local vendors before ordering.</t>
  </si>
  <si>
    <t>Raspberry Pi 5 (4 GB) priced at about $110, the Aug 2026 list price; Pi prices rose repeatedly since Dec 2025 because of memory costs. Source: https://magazinmehatronika.com/en/the-2026-raspberry-pi-pricing-and-buying-guide/</t>
  </si>
  <si>
    <t>Shipping, import duties, and taxes are NOT included and can add materially depending on where you buy.</t>
  </si>
  <si>
    <t>Assumes the team already owns basic tools (soldering iron, multimeter, hand tools) and has access to a 3D printer.</t>
  </si>
  <si>
    <t>Contingency (15%) is a team assumption for spares, wrong parts, and price drift. Edit B5.</t>
  </si>
  <si>
    <t>Medications in the demo are harmless placeholders. The sensors are hobby-grade, not medical devices.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</si>
</sst>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theme="1"/>
      <name val="Calibri"/>
      <family val="2"/>
      <charset val="1"/>
    </font>
    <font>
      <b/>
      <sz val="14"/>
      <color rgb="FF1F4E4A"/>
      <name val="Arial"/>
      <charset val="1"/>
    </font>
    <font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1"/>
      <color rgb="FF1F4E4A"/>
      <name val="Arial"/>
      <charset val="1"/>
    </font>
    <font>
      <sz val="9"/>
      <color rgb="FF333333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4A"/>
        <bgColor rgb="FF333333"/>
      </patternFill>
    </fill>
    <fill>
      <patternFill patternType="solid">
        <fgColor rgb="FFEEF4F3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/>
    </xf>
    <xf numFmtId="164" fontId="5" fillId="3" borderId="1" xfId="0" applyNumberFormat="1" applyFont="1" applyFill="1" applyBorder="1" applyAlignment="1">
      <alignment vertical="top"/>
    </xf>
    <xf numFmtId="164" fontId="4" fillId="3" borderId="1" xfId="0" applyNumberFormat="1" applyFont="1" applyFill="1" applyBorder="1" applyAlignment="1">
      <alignment vertical="top"/>
    </xf>
    <xf numFmtId="0" fontId="6" fillId="0" borderId="0" xfId="0" applyFont="1"/>
    <xf numFmtId="164" fontId="6" fillId="0" borderId="0" xfId="0" applyNumberFormat="1" applyFont="1"/>
    <xf numFmtId="0" fontId="5" fillId="4" borderId="1" xfId="0" applyFont="1" applyFill="1" applyBorder="1"/>
    <xf numFmtId="4" fontId="5" fillId="4" borderId="1" xfId="0" applyNumberFormat="1" applyFont="1" applyFill="1" applyBorder="1"/>
    <xf numFmtId="9" fontId="5" fillId="4" borderId="1" xfId="0" applyNumberFormat="1" applyFont="1" applyFill="1" applyBorder="1"/>
    <xf numFmtId="0" fontId="7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/>
    <xf numFmtId="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4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4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zoomScaleNormal="100" workbookViewId="0">
      <pane ySplit="4" topLeftCell="A5" activePane="bottomLeft" state="frozen"/>
      <selection pane="bottomLeft" activeCell="I49" sqref="I49"/>
    </sheetView>
  </sheetViews>
  <sheetFormatPr defaultColWidth="8.7109375" defaultRowHeight="15" x14ac:dyDescent="0.25"/>
  <cols>
    <col min="1" max="1" width="5" customWidth="1"/>
    <col min="2" max="2" width="24" customWidth="1"/>
    <col min="3" max="3" width="46" customWidth="1"/>
    <col min="4" max="4" width="58" customWidth="1"/>
    <col min="5" max="5" width="6" customWidth="1"/>
    <col min="6" max="7" width="14" customWidth="1"/>
    <col min="8" max="8" width="10" customWidth="1"/>
    <col min="9" max="9" width="24" customWidth="1"/>
  </cols>
  <sheetData>
    <row r="1" spans="1:9" ht="18" x14ac:dyDescent="0.25">
      <c r="A1" s="2" t="s">
        <v>0</v>
      </c>
    </row>
    <row r="2" spans="1:9" x14ac:dyDescent="0.25">
      <c r="A2" s="3" t="s">
        <v>1</v>
      </c>
    </row>
    <row r="4" spans="1:9" ht="25.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ht="38.25" x14ac:dyDescent="0.25">
      <c r="A5" s="5">
        <v>1</v>
      </c>
      <c r="B5" s="6" t="s">
        <v>11</v>
      </c>
      <c r="C5" s="6" t="s">
        <v>12</v>
      </c>
      <c r="D5" s="6" t="s">
        <v>13</v>
      </c>
      <c r="E5" s="7">
        <v>1</v>
      </c>
      <c r="F5" s="8">
        <v>110</v>
      </c>
      <c r="G5" s="9">
        <f>E5*F5</f>
        <v>110</v>
      </c>
      <c r="H5" s="5" t="s">
        <v>14</v>
      </c>
      <c r="I5" s="6" t="s">
        <v>15</v>
      </c>
    </row>
    <row r="6" spans="1:9" x14ac:dyDescent="0.25">
      <c r="A6" s="10">
        <v>2</v>
      </c>
      <c r="B6" s="11" t="s">
        <v>11</v>
      </c>
      <c r="C6" s="11" t="s">
        <v>16</v>
      </c>
      <c r="D6" s="11" t="s">
        <v>17</v>
      </c>
      <c r="E6" s="12">
        <v>1</v>
      </c>
      <c r="F6" s="13">
        <v>6</v>
      </c>
      <c r="G6" s="14">
        <f>E6*F6</f>
        <v>6</v>
      </c>
      <c r="H6" s="10" t="s">
        <v>14</v>
      </c>
      <c r="I6" s="11" t="s">
        <v>15</v>
      </c>
    </row>
    <row r="7" spans="1:9" x14ac:dyDescent="0.25">
      <c r="A7" s="5">
        <v>3</v>
      </c>
      <c r="B7" s="6" t="s">
        <v>11</v>
      </c>
      <c r="C7" s="6" t="s">
        <v>18</v>
      </c>
      <c r="D7" s="6" t="s">
        <v>19</v>
      </c>
      <c r="E7" s="7">
        <v>1</v>
      </c>
      <c r="F7" s="8">
        <v>10</v>
      </c>
      <c r="G7" s="9">
        <f>E7*F7</f>
        <v>10</v>
      </c>
      <c r="H7" s="5" t="s">
        <v>14</v>
      </c>
      <c r="I7" s="6" t="s">
        <v>15</v>
      </c>
    </row>
    <row r="8" spans="1:9" x14ac:dyDescent="0.25">
      <c r="A8" s="10">
        <v>4</v>
      </c>
      <c r="B8" s="11" t="s">
        <v>11</v>
      </c>
      <c r="C8" s="11" t="s">
        <v>20</v>
      </c>
      <c r="D8" s="11" t="s">
        <v>21</v>
      </c>
      <c r="E8" s="12">
        <v>2</v>
      </c>
      <c r="F8" s="13">
        <v>8</v>
      </c>
      <c r="G8" s="14">
        <f>E8*F8</f>
        <v>16</v>
      </c>
      <c r="H8" s="10" t="s">
        <v>14</v>
      </c>
      <c r="I8" s="11" t="s">
        <v>22</v>
      </c>
    </row>
    <row r="9" spans="1:9" x14ac:dyDescent="0.25">
      <c r="A9" s="5">
        <v>5</v>
      </c>
      <c r="B9" s="6" t="s">
        <v>11</v>
      </c>
      <c r="C9" s="6" t="s">
        <v>23</v>
      </c>
      <c r="D9" s="6" t="s">
        <v>24</v>
      </c>
      <c r="E9" s="7">
        <v>1</v>
      </c>
      <c r="F9" s="8">
        <v>3</v>
      </c>
      <c r="G9" s="9">
        <f>E9*F9</f>
        <v>3</v>
      </c>
      <c r="H9" s="5" t="s">
        <v>14</v>
      </c>
      <c r="I9" s="6" t="s">
        <v>22</v>
      </c>
    </row>
    <row r="10" spans="1:9" x14ac:dyDescent="0.25">
      <c r="A10" s="10">
        <v>6</v>
      </c>
      <c r="B10" s="11" t="s">
        <v>11</v>
      </c>
      <c r="C10" s="11" t="s">
        <v>25</v>
      </c>
      <c r="D10" s="11" t="s">
        <v>26</v>
      </c>
      <c r="E10" s="12">
        <v>1</v>
      </c>
      <c r="F10" s="13">
        <v>14</v>
      </c>
      <c r="G10" s="14">
        <f>E10*F10</f>
        <v>14</v>
      </c>
      <c r="H10" s="10" t="s">
        <v>27</v>
      </c>
      <c r="I10" s="11" t="s">
        <v>15</v>
      </c>
    </row>
    <row r="11" spans="1:9" x14ac:dyDescent="0.25">
      <c r="A11" s="5">
        <v>7</v>
      </c>
      <c r="B11" s="6" t="s">
        <v>28</v>
      </c>
      <c r="C11" s="6" t="s">
        <v>29</v>
      </c>
      <c r="D11" s="6" t="s">
        <v>30</v>
      </c>
      <c r="E11" s="7">
        <v>2</v>
      </c>
      <c r="F11" s="8">
        <v>5</v>
      </c>
      <c r="G11" s="9">
        <f>E11*F11</f>
        <v>10</v>
      </c>
      <c r="H11" s="5" t="s">
        <v>14</v>
      </c>
      <c r="I11" s="6" t="s">
        <v>31</v>
      </c>
    </row>
    <row r="12" spans="1:9" ht="25.5" x14ac:dyDescent="0.25">
      <c r="A12" s="10">
        <v>8</v>
      </c>
      <c r="B12" s="11" t="s">
        <v>28</v>
      </c>
      <c r="C12" s="11" t="s">
        <v>32</v>
      </c>
      <c r="D12" s="11" t="s">
        <v>33</v>
      </c>
      <c r="E12" s="12">
        <v>1</v>
      </c>
      <c r="F12" s="13">
        <v>14</v>
      </c>
      <c r="G12" s="14">
        <f>E12*F12</f>
        <v>14</v>
      </c>
      <c r="H12" s="10" t="s">
        <v>14</v>
      </c>
      <c r="I12" s="11" t="s">
        <v>31</v>
      </c>
    </row>
    <row r="13" spans="1:9" x14ac:dyDescent="0.25">
      <c r="A13" s="5">
        <v>9</v>
      </c>
      <c r="B13" s="6" t="s">
        <v>28</v>
      </c>
      <c r="C13" s="6" t="s">
        <v>34</v>
      </c>
      <c r="D13" s="6" t="s">
        <v>35</v>
      </c>
      <c r="E13" s="7">
        <v>1</v>
      </c>
      <c r="F13" s="8">
        <v>12</v>
      </c>
      <c r="G13" s="9">
        <f>E13*F13</f>
        <v>12</v>
      </c>
      <c r="H13" s="5" t="s">
        <v>14</v>
      </c>
      <c r="I13" s="6" t="s">
        <v>31</v>
      </c>
    </row>
    <row r="14" spans="1:9" ht="25.5" x14ac:dyDescent="0.25">
      <c r="A14" s="10">
        <v>10</v>
      </c>
      <c r="B14" s="11" t="s">
        <v>36</v>
      </c>
      <c r="C14" s="11" t="s">
        <v>37</v>
      </c>
      <c r="D14" s="11" t="s">
        <v>38</v>
      </c>
      <c r="E14" s="12">
        <v>2</v>
      </c>
      <c r="F14" s="13">
        <v>3</v>
      </c>
      <c r="G14" s="14">
        <f>E14*F14</f>
        <v>6</v>
      </c>
      <c r="H14" s="10" t="s">
        <v>14</v>
      </c>
      <c r="I14" s="11" t="s">
        <v>22</v>
      </c>
    </row>
    <row r="15" spans="1:9" ht="25.5" x14ac:dyDescent="0.25">
      <c r="A15" s="5">
        <v>11</v>
      </c>
      <c r="B15" s="6" t="s">
        <v>36</v>
      </c>
      <c r="C15" s="6" t="s">
        <v>39</v>
      </c>
      <c r="D15" s="6" t="s">
        <v>40</v>
      </c>
      <c r="E15" s="7">
        <v>2</v>
      </c>
      <c r="F15" s="8">
        <v>5</v>
      </c>
      <c r="G15" s="9">
        <f>E15*F15</f>
        <v>10</v>
      </c>
      <c r="H15" s="5" t="s">
        <v>14</v>
      </c>
      <c r="I15" s="6" t="s">
        <v>22</v>
      </c>
    </row>
    <row r="16" spans="1:9" ht="25.5" x14ac:dyDescent="0.25">
      <c r="A16" s="10">
        <v>12</v>
      </c>
      <c r="B16" s="11" t="s">
        <v>36</v>
      </c>
      <c r="C16" s="11" t="s">
        <v>41</v>
      </c>
      <c r="D16" s="11" t="s">
        <v>42</v>
      </c>
      <c r="E16" s="12">
        <v>1</v>
      </c>
      <c r="F16" s="13">
        <v>4</v>
      </c>
      <c r="G16" s="14">
        <f>E16*F16</f>
        <v>4</v>
      </c>
      <c r="H16" s="10" t="s">
        <v>14</v>
      </c>
      <c r="I16" s="11" t="s">
        <v>22</v>
      </c>
    </row>
    <row r="17" spans="1:9" ht="25.5" x14ac:dyDescent="0.25">
      <c r="A17" s="5">
        <v>13</v>
      </c>
      <c r="B17" s="6" t="s">
        <v>36</v>
      </c>
      <c r="C17" s="6" t="s">
        <v>43</v>
      </c>
      <c r="D17" s="6" t="s">
        <v>44</v>
      </c>
      <c r="E17" s="7">
        <v>4</v>
      </c>
      <c r="F17" s="8">
        <v>1.5</v>
      </c>
      <c r="G17" s="9">
        <f>E17*F17</f>
        <v>6</v>
      </c>
      <c r="H17" s="5" t="s">
        <v>14</v>
      </c>
      <c r="I17" s="6" t="s">
        <v>45</v>
      </c>
    </row>
    <row r="18" spans="1:9" ht="25.5" x14ac:dyDescent="0.25">
      <c r="A18" s="10">
        <v>14</v>
      </c>
      <c r="B18" s="11" t="s">
        <v>36</v>
      </c>
      <c r="C18" s="11" t="s">
        <v>46</v>
      </c>
      <c r="D18" s="11" t="s">
        <v>47</v>
      </c>
      <c r="E18" s="12">
        <v>1</v>
      </c>
      <c r="F18" s="13">
        <v>4</v>
      </c>
      <c r="G18" s="14">
        <f>E18*F18</f>
        <v>4</v>
      </c>
      <c r="H18" s="10" t="s">
        <v>14</v>
      </c>
      <c r="I18" s="11" t="s">
        <v>22</v>
      </c>
    </row>
    <row r="19" spans="1:9" ht="25.5" x14ac:dyDescent="0.25">
      <c r="A19" s="5">
        <v>15</v>
      </c>
      <c r="B19" s="6" t="s">
        <v>36</v>
      </c>
      <c r="C19" s="6" t="s">
        <v>48</v>
      </c>
      <c r="D19" s="6" t="s">
        <v>49</v>
      </c>
      <c r="E19" s="7">
        <v>1</v>
      </c>
      <c r="F19" s="8">
        <v>2</v>
      </c>
      <c r="G19" s="9">
        <f>E19*F19</f>
        <v>2</v>
      </c>
      <c r="H19" s="5" t="s">
        <v>14</v>
      </c>
      <c r="I19" s="6" t="s">
        <v>22</v>
      </c>
    </row>
    <row r="20" spans="1:9" x14ac:dyDescent="0.25">
      <c r="A20" s="10">
        <v>16</v>
      </c>
      <c r="B20" s="11" t="s">
        <v>50</v>
      </c>
      <c r="C20" s="11" t="s">
        <v>51</v>
      </c>
      <c r="D20" s="11" t="s">
        <v>52</v>
      </c>
      <c r="E20" s="12">
        <v>1</v>
      </c>
      <c r="F20" s="13">
        <v>25</v>
      </c>
      <c r="G20" s="14">
        <f>E20*F20</f>
        <v>25</v>
      </c>
      <c r="H20" s="10" t="s">
        <v>14</v>
      </c>
      <c r="I20" s="11" t="s">
        <v>15</v>
      </c>
    </row>
    <row r="21" spans="1:9" x14ac:dyDescent="0.25">
      <c r="A21" s="5">
        <v>17</v>
      </c>
      <c r="B21" s="6" t="s">
        <v>50</v>
      </c>
      <c r="C21" s="6" t="s">
        <v>53</v>
      </c>
      <c r="D21" s="6" t="s">
        <v>54</v>
      </c>
      <c r="E21" s="7">
        <v>1</v>
      </c>
      <c r="F21" s="8">
        <v>10</v>
      </c>
      <c r="G21" s="9">
        <f>E21*F21</f>
        <v>10</v>
      </c>
      <c r="H21" s="5" t="s">
        <v>27</v>
      </c>
      <c r="I21" s="6" t="s">
        <v>15</v>
      </c>
    </row>
    <row r="22" spans="1:9" x14ac:dyDescent="0.25">
      <c r="A22" s="10">
        <v>18</v>
      </c>
      <c r="B22" s="11" t="s">
        <v>50</v>
      </c>
      <c r="C22" s="11" t="s">
        <v>55</v>
      </c>
      <c r="D22" s="11" t="s">
        <v>56</v>
      </c>
      <c r="E22" s="12">
        <v>1</v>
      </c>
      <c r="F22" s="13">
        <v>6</v>
      </c>
      <c r="G22" s="14">
        <f>E22*F22</f>
        <v>6</v>
      </c>
      <c r="H22" s="10" t="s">
        <v>27</v>
      </c>
      <c r="I22" s="11" t="s">
        <v>15</v>
      </c>
    </row>
    <row r="23" spans="1:9" x14ac:dyDescent="0.25">
      <c r="A23" s="5">
        <v>19</v>
      </c>
      <c r="B23" s="6" t="s">
        <v>50</v>
      </c>
      <c r="C23" s="6" t="s">
        <v>57</v>
      </c>
      <c r="D23" s="6" t="s">
        <v>58</v>
      </c>
      <c r="E23" s="7">
        <v>1</v>
      </c>
      <c r="F23" s="8">
        <v>65</v>
      </c>
      <c r="G23" s="9">
        <f>E23*F23</f>
        <v>65</v>
      </c>
      <c r="H23" s="5" t="s">
        <v>27</v>
      </c>
      <c r="I23" s="6" t="s">
        <v>15</v>
      </c>
    </row>
    <row r="24" spans="1:9" ht="25.5" x14ac:dyDescent="0.25">
      <c r="A24" s="10">
        <v>20</v>
      </c>
      <c r="B24" s="11" t="s">
        <v>59</v>
      </c>
      <c r="C24" s="11" t="s">
        <v>60</v>
      </c>
      <c r="D24" s="11" t="s">
        <v>61</v>
      </c>
      <c r="E24" s="12">
        <v>2</v>
      </c>
      <c r="F24" s="13">
        <v>18</v>
      </c>
      <c r="G24" s="14">
        <f>E24*F24</f>
        <v>36</v>
      </c>
      <c r="H24" s="10" t="s">
        <v>14</v>
      </c>
      <c r="I24" s="11" t="s">
        <v>22</v>
      </c>
    </row>
    <row r="25" spans="1:9" x14ac:dyDescent="0.25">
      <c r="A25" s="5">
        <v>21</v>
      </c>
      <c r="B25" s="6" t="s">
        <v>59</v>
      </c>
      <c r="C25" s="6" t="s">
        <v>62</v>
      </c>
      <c r="D25" s="6" t="s">
        <v>63</v>
      </c>
      <c r="E25" s="7">
        <v>2</v>
      </c>
      <c r="F25" s="8">
        <v>4</v>
      </c>
      <c r="G25" s="9">
        <f>E25*F25</f>
        <v>8</v>
      </c>
      <c r="H25" s="5" t="s">
        <v>14</v>
      </c>
      <c r="I25" s="6" t="s">
        <v>22</v>
      </c>
    </row>
    <row r="26" spans="1:9" x14ac:dyDescent="0.25">
      <c r="A26" s="10">
        <v>22</v>
      </c>
      <c r="B26" s="11" t="s">
        <v>59</v>
      </c>
      <c r="C26" s="11" t="s">
        <v>64</v>
      </c>
      <c r="D26" s="11" t="s">
        <v>65</v>
      </c>
      <c r="E26" s="12">
        <v>1</v>
      </c>
      <c r="F26" s="13">
        <v>10</v>
      </c>
      <c r="G26" s="14">
        <f>E26*F26</f>
        <v>10</v>
      </c>
      <c r="H26" s="10" t="s">
        <v>14</v>
      </c>
      <c r="I26" s="11" t="s">
        <v>22</v>
      </c>
    </row>
    <row r="27" spans="1:9" x14ac:dyDescent="0.25">
      <c r="A27" s="5">
        <v>23</v>
      </c>
      <c r="B27" s="6" t="s">
        <v>59</v>
      </c>
      <c r="C27" s="6" t="s">
        <v>66</v>
      </c>
      <c r="D27" s="6" t="s">
        <v>67</v>
      </c>
      <c r="E27" s="7">
        <v>2</v>
      </c>
      <c r="F27" s="8">
        <v>3</v>
      </c>
      <c r="G27" s="9">
        <f>E27*F27</f>
        <v>6</v>
      </c>
      <c r="H27" s="5" t="s">
        <v>14</v>
      </c>
      <c r="I27" s="6" t="s">
        <v>22</v>
      </c>
    </row>
    <row r="28" spans="1:9" x14ac:dyDescent="0.25">
      <c r="A28" s="10">
        <v>24</v>
      </c>
      <c r="B28" s="11" t="s">
        <v>59</v>
      </c>
      <c r="C28" s="11" t="s">
        <v>68</v>
      </c>
      <c r="D28" s="11" t="s">
        <v>69</v>
      </c>
      <c r="E28" s="12">
        <v>2</v>
      </c>
      <c r="F28" s="13">
        <v>5</v>
      </c>
      <c r="G28" s="14">
        <f>E28*F28</f>
        <v>10</v>
      </c>
      <c r="H28" s="10" t="s">
        <v>14</v>
      </c>
      <c r="I28" s="11" t="s">
        <v>22</v>
      </c>
    </row>
    <row r="29" spans="1:9" x14ac:dyDescent="0.25">
      <c r="A29" s="5">
        <v>25</v>
      </c>
      <c r="B29" s="6" t="s">
        <v>70</v>
      </c>
      <c r="C29" s="6" t="s">
        <v>71</v>
      </c>
      <c r="D29" s="6" t="s">
        <v>72</v>
      </c>
      <c r="E29" s="7">
        <v>4</v>
      </c>
      <c r="F29" s="8">
        <v>3.5</v>
      </c>
      <c r="G29" s="9">
        <f>E29*F29</f>
        <v>14</v>
      </c>
      <c r="H29" s="5" t="s">
        <v>14</v>
      </c>
      <c r="I29" s="6" t="s">
        <v>45</v>
      </c>
    </row>
    <row r="30" spans="1:9" x14ac:dyDescent="0.25">
      <c r="A30" s="10">
        <v>26</v>
      </c>
      <c r="B30" s="11" t="s">
        <v>70</v>
      </c>
      <c r="C30" s="11" t="s">
        <v>73</v>
      </c>
      <c r="D30" s="11" t="s">
        <v>74</v>
      </c>
      <c r="E30" s="12">
        <v>3</v>
      </c>
      <c r="F30" s="13">
        <v>4</v>
      </c>
      <c r="G30" s="14">
        <f>E30*F30</f>
        <v>12</v>
      </c>
      <c r="H30" s="10" t="s">
        <v>27</v>
      </c>
      <c r="I30" s="11" t="s">
        <v>45</v>
      </c>
    </row>
    <row r="31" spans="1:9" x14ac:dyDescent="0.25">
      <c r="A31" s="5">
        <v>27</v>
      </c>
      <c r="B31" s="6" t="s">
        <v>75</v>
      </c>
      <c r="C31" s="6" t="s">
        <v>76</v>
      </c>
      <c r="D31" s="6" t="s">
        <v>77</v>
      </c>
      <c r="E31" s="7">
        <v>1</v>
      </c>
      <c r="F31" s="8">
        <v>35</v>
      </c>
      <c r="G31" s="9">
        <f>E31*F31</f>
        <v>35</v>
      </c>
      <c r="H31" s="5" t="s">
        <v>14</v>
      </c>
      <c r="I31" s="6" t="s">
        <v>22</v>
      </c>
    </row>
    <row r="32" spans="1:9" x14ac:dyDescent="0.25">
      <c r="A32" s="10">
        <v>28</v>
      </c>
      <c r="B32" s="11" t="s">
        <v>75</v>
      </c>
      <c r="C32" s="11" t="s">
        <v>78</v>
      </c>
      <c r="D32" s="11" t="s">
        <v>79</v>
      </c>
      <c r="E32" s="12">
        <v>1</v>
      </c>
      <c r="F32" s="13">
        <v>12</v>
      </c>
      <c r="G32" s="14">
        <f>E32*F32</f>
        <v>12</v>
      </c>
      <c r="H32" s="10" t="s">
        <v>14</v>
      </c>
      <c r="I32" s="11" t="s">
        <v>22</v>
      </c>
    </row>
    <row r="33" spans="1:9" x14ac:dyDescent="0.25">
      <c r="A33" s="5">
        <v>29</v>
      </c>
      <c r="B33" s="6" t="s">
        <v>75</v>
      </c>
      <c r="C33" s="6" t="s">
        <v>80</v>
      </c>
      <c r="D33" s="6" t="s">
        <v>81</v>
      </c>
      <c r="E33" s="7">
        <v>1</v>
      </c>
      <c r="F33" s="8">
        <v>12</v>
      </c>
      <c r="G33" s="9">
        <f>E33*F33</f>
        <v>12</v>
      </c>
      <c r="H33" s="5" t="s">
        <v>14</v>
      </c>
      <c r="I33" s="6" t="s">
        <v>22</v>
      </c>
    </row>
    <row r="34" spans="1:9" x14ac:dyDescent="0.25">
      <c r="A34" s="10">
        <v>30</v>
      </c>
      <c r="B34" s="11" t="s">
        <v>75</v>
      </c>
      <c r="C34" s="11" t="s">
        <v>82</v>
      </c>
      <c r="D34" s="11" t="s">
        <v>83</v>
      </c>
      <c r="E34" s="12">
        <v>1</v>
      </c>
      <c r="F34" s="13">
        <v>5</v>
      </c>
      <c r="G34" s="14">
        <f>E34*F34</f>
        <v>5</v>
      </c>
      <c r="H34" s="10" t="s">
        <v>14</v>
      </c>
      <c r="I34" s="11" t="s">
        <v>22</v>
      </c>
    </row>
    <row r="35" spans="1:9" x14ac:dyDescent="0.25">
      <c r="A35" s="5">
        <v>31</v>
      </c>
      <c r="B35" s="6" t="s">
        <v>75</v>
      </c>
      <c r="C35" s="6" t="s">
        <v>84</v>
      </c>
      <c r="D35" s="6" t="s">
        <v>85</v>
      </c>
      <c r="E35" s="7">
        <v>1</v>
      </c>
      <c r="F35" s="8">
        <v>7</v>
      </c>
      <c r="G35" s="9">
        <f>E35*F35</f>
        <v>7</v>
      </c>
      <c r="H35" s="5" t="s">
        <v>14</v>
      </c>
      <c r="I35" s="6" t="s">
        <v>22</v>
      </c>
    </row>
    <row r="36" spans="1:9" x14ac:dyDescent="0.25">
      <c r="A36" s="10">
        <v>32</v>
      </c>
      <c r="B36" s="11" t="s">
        <v>75</v>
      </c>
      <c r="C36" s="11" t="s">
        <v>86</v>
      </c>
      <c r="D36" s="11" t="s">
        <v>87</v>
      </c>
      <c r="E36" s="12">
        <v>1</v>
      </c>
      <c r="F36" s="13">
        <v>5</v>
      </c>
      <c r="G36" s="14">
        <f>E36*F36</f>
        <v>5</v>
      </c>
      <c r="H36" s="10" t="s">
        <v>14</v>
      </c>
      <c r="I36" s="11" t="s">
        <v>22</v>
      </c>
    </row>
    <row r="37" spans="1:9" x14ac:dyDescent="0.25">
      <c r="A37" s="5">
        <v>33</v>
      </c>
      <c r="B37" s="6" t="s">
        <v>75</v>
      </c>
      <c r="C37" s="6" t="s">
        <v>88</v>
      </c>
      <c r="D37" s="6"/>
      <c r="E37" s="7">
        <v>1</v>
      </c>
      <c r="F37" s="8">
        <v>3</v>
      </c>
      <c r="G37" s="9">
        <f>E37*F37</f>
        <v>3</v>
      </c>
      <c r="H37" s="5" t="s">
        <v>14</v>
      </c>
      <c r="I37" s="6" t="s">
        <v>22</v>
      </c>
    </row>
    <row r="38" spans="1:9" x14ac:dyDescent="0.25">
      <c r="A38" s="10">
        <v>34</v>
      </c>
      <c r="B38" s="11" t="s">
        <v>75</v>
      </c>
      <c r="C38" s="11" t="s">
        <v>89</v>
      </c>
      <c r="D38" s="11" t="s">
        <v>90</v>
      </c>
      <c r="E38" s="12">
        <v>1</v>
      </c>
      <c r="F38" s="13">
        <v>4</v>
      </c>
      <c r="G38" s="14">
        <f>E38*F38</f>
        <v>4</v>
      </c>
      <c r="H38" s="10" t="s">
        <v>14</v>
      </c>
      <c r="I38" s="11" t="s">
        <v>22</v>
      </c>
    </row>
    <row r="39" spans="1:9" x14ac:dyDescent="0.25">
      <c r="A39" s="5">
        <v>35</v>
      </c>
      <c r="B39" s="6" t="s">
        <v>75</v>
      </c>
      <c r="C39" s="6" t="s">
        <v>91</v>
      </c>
      <c r="D39" s="6" t="s">
        <v>92</v>
      </c>
      <c r="E39" s="7">
        <v>2</v>
      </c>
      <c r="F39" s="8">
        <v>2</v>
      </c>
      <c r="G39" s="9">
        <f>E39*F39</f>
        <v>4</v>
      </c>
      <c r="H39" s="5" t="s">
        <v>14</v>
      </c>
      <c r="I39" s="6" t="s">
        <v>22</v>
      </c>
    </row>
    <row r="40" spans="1:9" ht="25.5" x14ac:dyDescent="0.25">
      <c r="A40" s="10">
        <v>36</v>
      </c>
      <c r="B40" s="11" t="s">
        <v>93</v>
      </c>
      <c r="C40" s="11" t="s">
        <v>94</v>
      </c>
      <c r="D40" s="11" t="s">
        <v>95</v>
      </c>
      <c r="E40" s="12">
        <v>1</v>
      </c>
      <c r="F40" s="13">
        <v>20</v>
      </c>
      <c r="G40" s="14">
        <f>E40*F40</f>
        <v>20</v>
      </c>
      <c r="H40" s="10" t="s">
        <v>14</v>
      </c>
      <c r="I40" s="11" t="s">
        <v>96</v>
      </c>
    </row>
    <row r="41" spans="1:9" x14ac:dyDescent="0.25">
      <c r="A41" s="5">
        <v>37</v>
      </c>
      <c r="B41" s="6" t="s">
        <v>93</v>
      </c>
      <c r="C41" s="6" t="s">
        <v>97</v>
      </c>
      <c r="D41" s="6" t="s">
        <v>98</v>
      </c>
      <c r="E41" s="7">
        <v>1</v>
      </c>
      <c r="F41" s="8">
        <v>10</v>
      </c>
      <c r="G41" s="9">
        <f>E41*F41</f>
        <v>10</v>
      </c>
      <c r="H41" s="5" t="s">
        <v>14</v>
      </c>
      <c r="I41" s="6" t="s">
        <v>22</v>
      </c>
    </row>
    <row r="42" spans="1:9" x14ac:dyDescent="0.25">
      <c r="A42" s="10">
        <v>38</v>
      </c>
      <c r="B42" s="11" t="s">
        <v>93</v>
      </c>
      <c r="C42" s="11" t="s">
        <v>99</v>
      </c>
      <c r="D42" s="11"/>
      <c r="E42" s="12">
        <v>1</v>
      </c>
      <c r="F42" s="13">
        <v>12</v>
      </c>
      <c r="G42" s="14">
        <f>E42*F42</f>
        <v>12</v>
      </c>
      <c r="H42" s="10" t="s">
        <v>14</v>
      </c>
      <c r="I42" s="11" t="s">
        <v>96</v>
      </c>
    </row>
    <row r="43" spans="1:9" ht="25.5" x14ac:dyDescent="0.25">
      <c r="A43" s="5">
        <v>39</v>
      </c>
      <c r="B43" s="6" t="s">
        <v>93</v>
      </c>
      <c r="C43" s="6" t="s">
        <v>100</v>
      </c>
      <c r="D43" s="6"/>
      <c r="E43" s="7">
        <v>1</v>
      </c>
      <c r="F43" s="8">
        <v>25</v>
      </c>
      <c r="G43" s="9">
        <f>E43*F43</f>
        <v>25</v>
      </c>
      <c r="H43" s="5" t="s">
        <v>14</v>
      </c>
      <c r="I43" s="6" t="s">
        <v>96</v>
      </c>
    </row>
    <row r="44" spans="1:9" x14ac:dyDescent="0.25">
      <c r="A44" s="10">
        <v>40</v>
      </c>
      <c r="B44" s="11" t="s">
        <v>93</v>
      </c>
      <c r="C44" s="11" t="s">
        <v>101</v>
      </c>
      <c r="D44" s="11" t="s">
        <v>102</v>
      </c>
      <c r="E44" s="12">
        <v>1</v>
      </c>
      <c r="F44" s="13">
        <v>30</v>
      </c>
      <c r="G44" s="14">
        <f>E44*F44</f>
        <v>30</v>
      </c>
      <c r="H44" s="10" t="s">
        <v>27</v>
      </c>
      <c r="I44" s="11" t="s">
        <v>96</v>
      </c>
    </row>
    <row r="45" spans="1:9" x14ac:dyDescent="0.25">
      <c r="A45" s="5">
        <v>41</v>
      </c>
      <c r="B45" s="6" t="s">
        <v>103</v>
      </c>
      <c r="C45" s="6" t="s">
        <v>104</v>
      </c>
      <c r="D45" s="6" t="s">
        <v>105</v>
      </c>
      <c r="E45" s="7">
        <v>1</v>
      </c>
      <c r="F45" s="8">
        <v>15</v>
      </c>
      <c r="G45" s="9">
        <f>E45*F45</f>
        <v>15</v>
      </c>
      <c r="H45" s="5" t="s">
        <v>14</v>
      </c>
      <c r="I45" s="6" t="s">
        <v>31</v>
      </c>
    </row>
    <row r="46" spans="1:9" x14ac:dyDescent="0.25">
      <c r="A46" s="10">
        <v>42</v>
      </c>
      <c r="B46" s="11" t="s">
        <v>103</v>
      </c>
      <c r="C46" s="11" t="s">
        <v>106</v>
      </c>
      <c r="D46" s="11" t="s">
        <v>107</v>
      </c>
      <c r="E46" s="12">
        <v>1</v>
      </c>
      <c r="F46" s="13">
        <v>12</v>
      </c>
      <c r="G46" s="14">
        <f>E46*F46</f>
        <v>12</v>
      </c>
      <c r="H46" s="10" t="s">
        <v>14</v>
      </c>
      <c r="I46" s="11" t="s">
        <v>31</v>
      </c>
    </row>
    <row r="47" spans="1:9" x14ac:dyDescent="0.25">
      <c r="A47" s="5">
        <v>43</v>
      </c>
      <c r="B47" s="6" t="s">
        <v>103</v>
      </c>
      <c r="C47" s="6" t="s">
        <v>108</v>
      </c>
      <c r="D47" s="6" t="s">
        <v>109</v>
      </c>
      <c r="E47" s="7">
        <v>1</v>
      </c>
      <c r="F47" s="8">
        <v>5</v>
      </c>
      <c r="G47" s="9">
        <f>E47*F47</f>
        <v>5</v>
      </c>
      <c r="H47" s="5" t="s">
        <v>14</v>
      </c>
      <c r="I47" s="6" t="s">
        <v>45</v>
      </c>
    </row>
    <row r="48" spans="1:9" x14ac:dyDescent="0.25">
      <c r="A48" s="10">
        <v>44</v>
      </c>
      <c r="B48" s="11" t="s">
        <v>103</v>
      </c>
      <c r="C48" s="11" t="s">
        <v>110</v>
      </c>
      <c r="D48" s="11" t="s">
        <v>111</v>
      </c>
      <c r="E48" s="12">
        <v>1</v>
      </c>
      <c r="F48" s="13">
        <v>8</v>
      </c>
      <c r="G48" s="14">
        <f>E48*F48</f>
        <v>8</v>
      </c>
      <c r="H48" s="10" t="s">
        <v>14</v>
      </c>
      <c r="I48" s="11" t="s">
        <v>31</v>
      </c>
    </row>
    <row r="49" spans="1:9" ht="25.5" x14ac:dyDescent="0.25">
      <c r="A49" s="5">
        <v>45</v>
      </c>
      <c r="B49" s="6" t="s">
        <v>103</v>
      </c>
      <c r="C49" s="6" t="s">
        <v>112</v>
      </c>
      <c r="D49" s="6" t="s">
        <v>113</v>
      </c>
      <c r="E49" s="7">
        <v>1</v>
      </c>
      <c r="F49" s="8">
        <v>6</v>
      </c>
      <c r="G49" s="9">
        <f>E49*F49</f>
        <v>6</v>
      </c>
      <c r="H49" s="5" t="s">
        <v>14</v>
      </c>
      <c r="I49" s="6" t="s">
        <v>15</v>
      </c>
    </row>
    <row r="51" spans="1:9" x14ac:dyDescent="0.25">
      <c r="C51" s="15" t="s">
        <v>114</v>
      </c>
      <c r="G51" s="16">
        <f>SUM(G5:G49)</f>
        <v>659</v>
      </c>
    </row>
  </sheetData>
  <autoFilter ref="A4:I49" xr:uid="{00000000-0009-0000-0000-000000000000}">
    <sortState xmlns:xlrd2="http://schemas.microsoft.com/office/spreadsheetml/2017/richdata2" ref="A5:I49">
      <sortCondition ref="A4:A49"/>
    </sortState>
  </autoFilter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2"/>
  <sheetViews>
    <sheetView zoomScaleNormal="100" workbookViewId="0"/>
  </sheetViews>
  <sheetFormatPr defaultColWidth="8.7109375" defaultRowHeight="15" x14ac:dyDescent="0.25"/>
  <cols>
    <col min="1" max="1" width="52" customWidth="1"/>
    <col min="2" max="4" width="16" customWidth="1"/>
  </cols>
  <sheetData>
    <row r="1" spans="1:4" ht="18" x14ac:dyDescent="0.25">
      <c r="A1" s="2" t="s">
        <v>115</v>
      </c>
    </row>
    <row r="3" spans="1:4" x14ac:dyDescent="0.25">
      <c r="A3" s="15" t="s">
        <v>116</v>
      </c>
      <c r="B3" s="17" t="s">
        <v>117</v>
      </c>
      <c r="C3" s="3" t="s">
        <v>118</v>
      </c>
    </row>
    <row r="4" spans="1:4" x14ac:dyDescent="0.25">
      <c r="A4" s="15" t="s">
        <v>119</v>
      </c>
      <c r="B4" s="18">
        <v>1</v>
      </c>
    </row>
    <row r="5" spans="1:4" x14ac:dyDescent="0.25">
      <c r="A5" s="15" t="s">
        <v>120</v>
      </c>
      <c r="B5" s="19">
        <v>0.15</v>
      </c>
    </row>
    <row r="7" spans="1:4" x14ac:dyDescent="0.25">
      <c r="A7" s="20" t="s">
        <v>121</v>
      </c>
    </row>
    <row r="8" spans="1:4" x14ac:dyDescent="0.25">
      <c r="A8" s="21" t="s">
        <v>3</v>
      </c>
      <c r="B8" s="21" t="s">
        <v>122</v>
      </c>
      <c r="C8" s="21" t="s">
        <v>123</v>
      </c>
      <c r="D8" s="21" t="s">
        <v>124</v>
      </c>
    </row>
    <row r="9" spans="1:4" x14ac:dyDescent="0.25">
      <c r="A9" s="22" t="s">
        <v>11</v>
      </c>
      <c r="B9" s="23">
        <f>SUMIFS(BOM!$G$5:$G$49,BOM!$B$5:$B$49,$A9,BOM!$H$5:$H$49,"Core")</f>
        <v>145</v>
      </c>
      <c r="C9" s="23">
        <f>SUMIFS(BOM!$G$5:$G$49,BOM!$B$5:$B$49,$A9,BOM!$H$5:$H$49,"Optional")</f>
        <v>14</v>
      </c>
      <c r="D9" s="23">
        <f t="shared" ref="D9:D17" si="0">B9+C9</f>
        <v>159</v>
      </c>
    </row>
    <row r="10" spans="1:4" x14ac:dyDescent="0.25">
      <c r="A10" s="22" t="s">
        <v>28</v>
      </c>
      <c r="B10" s="23">
        <f>SUMIFS(BOM!$G$5:$G$49,BOM!$B$5:$B$49,$A10,BOM!$H$5:$H$49,"Core")</f>
        <v>36</v>
      </c>
      <c r="C10" s="23">
        <f>SUMIFS(BOM!$G$5:$G$49,BOM!$B$5:$B$49,$A10,BOM!$H$5:$H$49,"Optional")</f>
        <v>0</v>
      </c>
      <c r="D10" s="23">
        <f t="shared" si="0"/>
        <v>36</v>
      </c>
    </row>
    <row r="11" spans="1:4" x14ac:dyDescent="0.25">
      <c r="A11" s="22" t="s">
        <v>36</v>
      </c>
      <c r="B11" s="23">
        <f>SUMIFS(BOM!$G$5:$G$49,BOM!$B$5:$B$49,$A11,BOM!$H$5:$H$49,"Core")</f>
        <v>32</v>
      </c>
      <c r="C11" s="23">
        <f>SUMIFS(BOM!$G$5:$G$49,BOM!$B$5:$B$49,$A11,BOM!$H$5:$H$49,"Optional")</f>
        <v>0</v>
      </c>
      <c r="D11" s="23">
        <f t="shared" si="0"/>
        <v>32</v>
      </c>
    </row>
    <row r="12" spans="1:4" x14ac:dyDescent="0.25">
      <c r="A12" s="22" t="s">
        <v>50</v>
      </c>
      <c r="B12" s="23">
        <f>SUMIFS(BOM!$G$5:$G$49,BOM!$B$5:$B$49,$A12,BOM!$H$5:$H$49,"Core")</f>
        <v>25</v>
      </c>
      <c r="C12" s="23">
        <f>SUMIFS(BOM!$G$5:$G$49,BOM!$B$5:$B$49,$A12,BOM!$H$5:$H$49,"Optional")</f>
        <v>81</v>
      </c>
      <c r="D12" s="23">
        <f t="shared" si="0"/>
        <v>106</v>
      </c>
    </row>
    <row r="13" spans="1:4" x14ac:dyDescent="0.25">
      <c r="A13" s="22" t="s">
        <v>59</v>
      </c>
      <c r="B13" s="23">
        <f>SUMIFS(BOM!$G$5:$G$49,BOM!$B$5:$B$49,$A13,BOM!$H$5:$H$49,"Core")</f>
        <v>70</v>
      </c>
      <c r="C13" s="23">
        <f>SUMIFS(BOM!$G$5:$G$49,BOM!$B$5:$B$49,$A13,BOM!$H$5:$H$49,"Optional")</f>
        <v>0</v>
      </c>
      <c r="D13" s="23">
        <f t="shared" si="0"/>
        <v>70</v>
      </c>
    </row>
    <row r="14" spans="1:4" x14ac:dyDescent="0.25">
      <c r="A14" s="22" t="s">
        <v>70</v>
      </c>
      <c r="B14" s="23">
        <f>SUMIFS(BOM!$G$5:$G$49,BOM!$B$5:$B$49,$A14,BOM!$H$5:$H$49,"Core")</f>
        <v>14</v>
      </c>
      <c r="C14" s="23">
        <f>SUMIFS(BOM!$G$5:$G$49,BOM!$B$5:$B$49,$A14,BOM!$H$5:$H$49,"Optional")</f>
        <v>12</v>
      </c>
      <c r="D14" s="23">
        <f t="shared" si="0"/>
        <v>26</v>
      </c>
    </row>
    <row r="15" spans="1:4" x14ac:dyDescent="0.25">
      <c r="A15" s="22" t="s">
        <v>75</v>
      </c>
      <c r="B15" s="23">
        <f>SUMIFS(BOM!$G$5:$G$49,BOM!$B$5:$B$49,$A15,BOM!$H$5:$H$49,"Core")</f>
        <v>87</v>
      </c>
      <c r="C15" s="23">
        <f>SUMIFS(BOM!$G$5:$G$49,BOM!$B$5:$B$49,$A15,BOM!$H$5:$H$49,"Optional")</f>
        <v>0</v>
      </c>
      <c r="D15" s="23">
        <f t="shared" si="0"/>
        <v>87</v>
      </c>
    </row>
    <row r="16" spans="1:4" x14ac:dyDescent="0.25">
      <c r="A16" s="22" t="s">
        <v>93</v>
      </c>
      <c r="B16" s="23">
        <f>SUMIFS(BOM!$G$5:$G$49,BOM!$B$5:$B$49,$A16,BOM!$H$5:$H$49,"Core")</f>
        <v>67</v>
      </c>
      <c r="C16" s="23">
        <f>SUMIFS(BOM!$G$5:$G$49,BOM!$B$5:$B$49,$A16,BOM!$H$5:$H$49,"Optional")</f>
        <v>30</v>
      </c>
      <c r="D16" s="23">
        <f t="shared" si="0"/>
        <v>97</v>
      </c>
    </row>
    <row r="17" spans="1:4" x14ac:dyDescent="0.25">
      <c r="A17" s="22" t="s">
        <v>103</v>
      </c>
      <c r="B17" s="23">
        <f>SUMIFS(BOM!$G$5:$G$49,BOM!$B$5:$B$49,$A17,BOM!$H$5:$H$49,"Core")</f>
        <v>46</v>
      </c>
      <c r="C17" s="23">
        <f>SUMIFS(BOM!$G$5:$G$49,BOM!$B$5:$B$49,$A17,BOM!$H$5:$H$49,"Optional")</f>
        <v>0</v>
      </c>
      <c r="D17" s="23">
        <f t="shared" si="0"/>
        <v>46</v>
      </c>
    </row>
    <row r="18" spans="1:4" x14ac:dyDescent="0.25">
      <c r="A18" s="24" t="s">
        <v>125</v>
      </c>
      <c r="B18" s="25">
        <f>SUM(B9:B17)</f>
        <v>522</v>
      </c>
      <c r="C18" s="25">
        <f>SUM(C9:C17)</f>
        <v>137</v>
      </c>
      <c r="D18" s="25">
        <f>SUM(D9:D17)</f>
        <v>659</v>
      </c>
    </row>
    <row r="20" spans="1:4" x14ac:dyDescent="0.25">
      <c r="A20" s="20" t="s">
        <v>126</v>
      </c>
    </row>
    <row r="21" spans="1:4" x14ac:dyDescent="0.25">
      <c r="A21" s="21" t="s">
        <v>127</v>
      </c>
      <c r="B21" s="21" t="s">
        <v>122</v>
      </c>
      <c r="C21" s="21" t="s">
        <v>123</v>
      </c>
      <c r="D21" s="21" t="s">
        <v>124</v>
      </c>
    </row>
    <row r="22" spans="1:4" x14ac:dyDescent="0.25">
      <c r="A22" s="22" t="s">
        <v>22</v>
      </c>
      <c r="B22" s="23">
        <f>SUMIFS(BOM!$G$5:$G$49,BOM!$I$5:$I$49,$A22,BOM!$H$5:$H$49,"Core")</f>
        <v>212</v>
      </c>
      <c r="C22" s="23">
        <f>SUMIFS(BOM!$G$5:$G$49,BOM!$I$5:$I$49,$A22,BOM!$H$5:$H$49,"Optional")</f>
        <v>0</v>
      </c>
      <c r="D22" s="23">
        <f>B22+C22</f>
        <v>212</v>
      </c>
    </row>
    <row r="23" spans="1:4" x14ac:dyDescent="0.25">
      <c r="A23" s="22" t="s">
        <v>31</v>
      </c>
      <c r="B23" s="23">
        <f>SUMIFS(BOM!$G$5:$G$49,BOM!$I$5:$I$49,$A23,BOM!$H$5:$H$49,"Core")</f>
        <v>71</v>
      </c>
      <c r="C23" s="23">
        <f>SUMIFS(BOM!$G$5:$G$49,BOM!$I$5:$I$49,$A23,BOM!$H$5:$H$49,"Optional")</f>
        <v>0</v>
      </c>
      <c r="D23" s="23">
        <f>B23+C23</f>
        <v>71</v>
      </c>
    </row>
    <row r="24" spans="1:4" x14ac:dyDescent="0.25">
      <c r="A24" s="22" t="s">
        <v>45</v>
      </c>
      <c r="B24" s="23">
        <f>SUMIFS(BOM!$G$5:$G$49,BOM!$I$5:$I$49,$A24,BOM!$H$5:$H$49,"Core")</f>
        <v>25</v>
      </c>
      <c r="C24" s="23">
        <f>SUMIFS(BOM!$G$5:$G$49,BOM!$I$5:$I$49,$A24,BOM!$H$5:$H$49,"Optional")</f>
        <v>12</v>
      </c>
      <c r="D24" s="23">
        <f>B24+C24</f>
        <v>37</v>
      </c>
    </row>
    <row r="25" spans="1:4" x14ac:dyDescent="0.25">
      <c r="A25" s="22" t="s">
        <v>15</v>
      </c>
      <c r="B25" s="23">
        <f>SUMIFS(BOM!$G$5:$G$49,BOM!$I$5:$I$49,$A25,BOM!$H$5:$H$49,"Core")</f>
        <v>157</v>
      </c>
      <c r="C25" s="23">
        <f>SUMIFS(BOM!$G$5:$G$49,BOM!$I$5:$I$49,$A25,BOM!$H$5:$H$49,"Optional")</f>
        <v>95</v>
      </c>
      <c r="D25" s="23">
        <f>B25+C25</f>
        <v>252</v>
      </c>
    </row>
    <row r="26" spans="1:4" x14ac:dyDescent="0.25">
      <c r="A26" s="22" t="s">
        <v>96</v>
      </c>
      <c r="B26" s="23">
        <f>SUMIFS(BOM!$G$5:$G$49,BOM!$I$5:$I$49,$A26,BOM!$H$5:$H$49,"Core")</f>
        <v>57</v>
      </c>
      <c r="C26" s="23">
        <f>SUMIFS(BOM!$G$5:$G$49,BOM!$I$5:$I$49,$A26,BOM!$H$5:$H$49,"Optional")</f>
        <v>30</v>
      </c>
      <c r="D26" s="23">
        <f>B26+C26</f>
        <v>87</v>
      </c>
    </row>
    <row r="27" spans="1:4" x14ac:dyDescent="0.25">
      <c r="A27" s="24" t="s">
        <v>125</v>
      </c>
      <c r="B27" s="25">
        <f>SUM(B22:B26)</f>
        <v>522</v>
      </c>
      <c r="C27" s="25">
        <f>SUM(C22:C26)</f>
        <v>137</v>
      </c>
      <c r="D27" s="25">
        <f>SUM(D22:D26)</f>
        <v>659</v>
      </c>
    </row>
    <row r="29" spans="1:4" x14ac:dyDescent="0.25">
      <c r="A29" s="20" t="s">
        <v>128</v>
      </c>
    </row>
    <row r="30" spans="1:4" x14ac:dyDescent="0.25">
      <c r="A30" s="22" t="s">
        <v>129</v>
      </c>
      <c r="B30" s="23">
        <f>B18</f>
        <v>522</v>
      </c>
    </row>
    <row r="31" spans="1:4" x14ac:dyDescent="0.25">
      <c r="A31" s="22" t="s">
        <v>130</v>
      </c>
      <c r="B31" s="23">
        <f>B30*$B$5</f>
        <v>78.3</v>
      </c>
    </row>
    <row r="32" spans="1:4" x14ac:dyDescent="0.25">
      <c r="A32" s="24" t="s">
        <v>131</v>
      </c>
      <c r="B32" s="25">
        <f>B30+B31</f>
        <v>600.29999999999995</v>
      </c>
    </row>
    <row r="33" spans="1:4" x14ac:dyDescent="0.25">
      <c r="A33" s="24" t="s">
        <v>132</v>
      </c>
      <c r="B33" s="26">
        <f>B32*$B$4</f>
        <v>600.29999999999995</v>
      </c>
    </row>
    <row r="34" spans="1:4" x14ac:dyDescent="0.25">
      <c r="A34" s="22" t="s">
        <v>133</v>
      </c>
      <c r="B34" s="23">
        <f>D18+B31</f>
        <v>737.3</v>
      </c>
    </row>
    <row r="36" spans="1:4" x14ac:dyDescent="0.25">
      <c r="A36" s="20" t="s">
        <v>134</v>
      </c>
    </row>
    <row r="37" spans="1:4" ht="27.75" customHeight="1" x14ac:dyDescent="0.25">
      <c r="A37" s="1" t="s">
        <v>135</v>
      </c>
      <c r="B37" s="1"/>
      <c r="C37" s="1"/>
      <c r="D37" s="1"/>
    </row>
    <row r="38" spans="1:4" ht="27.75" customHeight="1" x14ac:dyDescent="0.25">
      <c r="A38" s="1" t="s">
        <v>136</v>
      </c>
      <c r="B38" s="1"/>
      <c r="C38" s="1"/>
      <c r="D38" s="1"/>
    </row>
    <row r="39" spans="1:4" ht="27.75" customHeight="1" x14ac:dyDescent="0.25">
      <c r="A39" s="1" t="s">
        <v>137</v>
      </c>
      <c r="B39" s="1"/>
      <c r="C39" s="1"/>
      <c r="D39" s="1"/>
    </row>
    <row r="40" spans="1:4" ht="27.75" customHeight="1" x14ac:dyDescent="0.25">
      <c r="A40" s="1" t="s">
        <v>138</v>
      </c>
      <c r="B40" s="1"/>
      <c r="C40" s="1"/>
      <c r="D40" s="1"/>
    </row>
    <row r="41" spans="1:4" ht="27.75" customHeight="1" x14ac:dyDescent="0.25">
      <c r="A41" s="1" t="s">
        <v>139</v>
      </c>
      <c r="B41" s="1"/>
      <c r="C41" s="1"/>
      <c r="D41" s="1"/>
    </row>
    <row r="42" spans="1:4" ht="27.75" customHeight="1" x14ac:dyDescent="0.25">
      <c r="A42" s="1" t="s">
        <v>140</v>
      </c>
      <c r="B42" s="1"/>
      <c r="C42" s="1"/>
      <c r="D42" s="1"/>
    </row>
  </sheetData>
  <mergeCells count="6">
    <mergeCell ref="A42:D42"/>
    <mergeCell ref="A37:D37"/>
    <mergeCell ref="A38:D38"/>
    <mergeCell ref="A39:D39"/>
    <mergeCell ref="A40:D40"/>
    <mergeCell ref="A41:D4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Ibrahim Yehia</cp:lastModifiedBy>
  <cp:revision>0</cp:revision>
  <dcterms:created xsi:type="dcterms:W3CDTF">2026-10-17T10:00:36Z</dcterms:created>
  <dcterms:modified xsi:type="dcterms:W3CDTF">2026-10-17T15:37:36Z</dcterms:modified>
  <dc:language>en-US</dc:language>
</cp:coreProperties>
</file>